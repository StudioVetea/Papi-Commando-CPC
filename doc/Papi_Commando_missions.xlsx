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s" sheetId="1" state="visible" r:id="rId3"/>
    <sheet name="Résumé" sheetId="2" state="visible" r:id="rId4"/>
    <sheet name="Ennemis" sheetId="3" state="visible" r:id="rId5"/>
    <sheet name="Règles" sheetId="4" state="visible" r:id="rId6"/>
  </sheets>
  <definedNames>
    <definedName function="false" hidden="true" localSheetId="0" name="_xlnm._FilterDatabase" vbProcedure="false">Missions!$A$1:$L$16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<sst xmlns="http://schemas.openxmlformats.org/spreadsheetml/2006/main" count="92" uniqueCount="61">
  <si>
    <t xml:space="preserve">Zone</t>
  </si>
  <si>
    <t xml:space="preserve">Nom de la zone</t>
  </si>
  <si>
    <t xml:space="preserve">Mission</t>
  </si>
  <si>
    <t xml:space="preserve">Type</t>
  </si>
  <si>
    <t xml:space="preserve">Objectif</t>
  </si>
  <si>
    <t xml:space="preserve">Quota (kills ou secondes)</t>
  </si>
  <si>
    <t xml:space="preserve">Unités max à l'écran</t>
  </si>
  <si>
    <t xml:space="preserve">% soldats</t>
  </si>
  <si>
    <t xml:space="preserve">% officiers</t>
  </si>
  <si>
    <t xml:space="preserve">% généraux</t>
  </si>
  <si>
    <t xml:space="preserve">Spécificités</t>
  </si>
  <si>
    <t xml:space="preserve">Score du boss</t>
  </si>
  <si>
    <t xml:space="preserve">OUTPOST C-01</t>
  </si>
  <si>
    <t xml:space="preserve">Kills</t>
  </si>
  <si>
    <t xml:space="preserve">Tuer 15 soldats</t>
  </si>
  <si>
    <t xml:space="preserve">Time Attack</t>
  </si>
  <si>
    <t xml:space="preserve">Survivre 30 s</t>
  </si>
  <si>
    <t xml:space="preserve">Tuer 25 soldats</t>
  </si>
  <si>
    <t xml:space="preserve">Find the Z80</t>
  </si>
  <si>
    <t xml:space="preserve">Trouver le Z80 : il apparaît au bout de 15 kills ; le ramasser</t>
  </si>
  <si>
    <t xml:space="preserve">Fin de mission à la prise du Z80</t>
  </si>
  <si>
    <t xml:space="preserve">Boss</t>
  </si>
  <si>
    <t xml:space="preserve">Tuer Boss Caporal Garatonku</t>
  </si>
  <si>
    <t xml:space="preserve">30 PV ; corps + tête (2 places) + garde de soldats</t>
  </si>
  <si>
    <t xml:space="preserve">THE LOST BARRACKS</t>
  </si>
  <si>
    <t xml:space="preserve">Survivre 45 s</t>
  </si>
  <si>
    <t xml:space="preserve">Tuer 15 officiers</t>
  </si>
  <si>
    <t xml:space="preserve">Trouver le Z80 : il apparaît au bout de 20 kills ; le ramasser</t>
  </si>
  <si>
    <t xml:space="preserve">Tuer Boss Capitaine DanTaGoul</t>
  </si>
  <si>
    <t xml:space="preserve">35 PV ; +15 % de vitesse ; 1 tir/s ; 5 s à couvert ; escorte d'officiers</t>
  </si>
  <si>
    <t xml:space="preserve">HIDDEN HEADQUARTER</t>
  </si>
  <si>
    <t xml:space="preserve">Tuer 25 officiers</t>
  </si>
  <si>
    <t xml:space="preserve">Eau animée</t>
  </si>
  <si>
    <t xml:space="preserve">Trouver le Z80 : il apparaît au bout de 25 kills ; le ramasser</t>
  </si>
  <si>
    <t xml:space="preserve">Tuer 20 généraux</t>
  </si>
  <si>
    <t xml:space="preserve">Tuer Boss Général Falzar</t>
  </si>
  <si>
    <t xml:space="preserve">45 PV ; plus rapide que les généraux ; rafales de 3 ; pas de grenade ; 5 s à couvert ; boss entre 2 gardes</t>
  </si>
  <si>
    <t xml:space="preserve">Missions</t>
  </si>
  <si>
    <t xml:space="preserve">Total</t>
  </si>
  <si>
    <t xml:space="preserve">Unité</t>
  </si>
  <si>
    <t xml:space="preserve">Points de vie</t>
  </si>
  <si>
    <t xml:space="preserve">Remarque</t>
  </si>
  <si>
    <t xml:space="preserve">Soldat</t>
  </si>
  <si>
    <t xml:space="preserve">Officier</t>
  </si>
  <si>
    <t xml:space="preserve">Lance des grenades (portée limitée à celle de Papi : 20 octets / 60 lignes)</t>
  </si>
  <si>
    <t xml:space="preserve">Général</t>
  </si>
  <si>
    <t xml:space="preserve">Plus rapide que les officiers</t>
  </si>
  <si>
    <t xml:space="preserve">Boss Caporal Garatonku</t>
  </si>
  <si>
    <t xml:space="preserve">Zone 1</t>
  </si>
  <si>
    <t xml:space="preserve">Boss Capitaine DanTaGoul</t>
  </si>
  <si>
    <t xml:space="preserve">Zone 2</t>
  </si>
  <si>
    <t xml:space="preserve">Boss Général Falzar</t>
  </si>
  <si>
    <t xml:space="preserve">Zone 3 ; ne lance pas de grenade</t>
  </si>
  <si>
    <t xml:space="preserve">Règle commune</t>
  </si>
  <si>
    <t xml:space="preserve">Vies et score conservés d'une mission à l'autre</t>
  </si>
  <si>
    <t xml:space="preserve">Vie bonus tous les 250 points ; score plafonné à 9990</t>
  </si>
  <si>
    <t xml:space="preserve">Grenades : max 10, 5 au départ</t>
  </si>
  <si>
    <t xml:space="preserve">Invincibilité après une mort : 1,5 s (75 images à 50 images/s), Papi clignote</t>
  </si>
  <si>
    <t xml:space="preserve">Barre de vie du boss dans le bandeau : vert, jaune, orange, rouge</t>
  </si>
  <si>
    <t xml:space="preserve">Fin de zone : boss vaincu, écran CONGRATULATIONS puis retour au menu</t>
  </si>
  <si>
    <t xml:space="preserve">Source : cahier des charges du 19 octobre 2026 (état v42)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</si>
</sst>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;\-0%;\-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4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52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n">
        <v>1</v>
      </c>
      <c r="B2" s="3" t="s">
        <v>12</v>
      </c>
      <c r="C2" s="2" t="n">
        <v>1</v>
      </c>
      <c r="D2" s="3" t="s">
        <v>13</v>
      </c>
      <c r="E2" s="3" t="s">
        <v>14</v>
      </c>
      <c r="F2" s="2" t="n">
        <v>15</v>
      </c>
      <c r="G2" s="2" t="n">
        <v>5</v>
      </c>
      <c r="H2" s="4" t="n">
        <v>1</v>
      </c>
      <c r="I2" s="4" t="n">
        <v>0</v>
      </c>
      <c r="J2" s="4" t="n">
        <v>0</v>
      </c>
      <c r="K2" s="3"/>
      <c r="L2" s="2"/>
    </row>
    <row r="3" customFormat="false" ht="15" hidden="false" customHeight="false" outlineLevel="0" collapsed="false">
      <c r="A3" s="2" t="n">
        <v>1</v>
      </c>
      <c r="B3" s="3" t="s">
        <v>12</v>
      </c>
      <c r="C3" s="2" t="n">
        <v>2</v>
      </c>
      <c r="D3" s="3" t="s">
        <v>15</v>
      </c>
      <c r="E3" s="3" t="s">
        <v>16</v>
      </c>
      <c r="F3" s="2" t="n">
        <v>30</v>
      </c>
      <c r="G3" s="2" t="n">
        <v>5</v>
      </c>
      <c r="H3" s="4" t="n">
        <v>1</v>
      </c>
      <c r="I3" s="4" t="n">
        <v>0</v>
      </c>
      <c r="J3" s="4" t="n">
        <v>0</v>
      </c>
      <c r="K3" s="3"/>
      <c r="L3" s="2"/>
    </row>
    <row r="4" customFormat="false" ht="15" hidden="false" customHeight="false" outlineLevel="0" collapsed="false">
      <c r="A4" s="2" t="n">
        <v>1</v>
      </c>
      <c r="B4" s="3" t="s">
        <v>12</v>
      </c>
      <c r="C4" s="2" t="n">
        <v>3</v>
      </c>
      <c r="D4" s="3" t="s">
        <v>13</v>
      </c>
      <c r="E4" s="3" t="s">
        <v>17</v>
      </c>
      <c r="F4" s="2" t="n">
        <v>25</v>
      </c>
      <c r="G4" s="2" t="n">
        <v>6</v>
      </c>
      <c r="H4" s="4" t="n">
        <v>1</v>
      </c>
      <c r="I4" s="4" t="n">
        <v>0</v>
      </c>
      <c r="J4" s="4" t="n">
        <v>0</v>
      </c>
      <c r="K4" s="3"/>
      <c r="L4" s="2"/>
    </row>
    <row r="5" customFormat="false" ht="23.85" hidden="false" customHeight="false" outlineLevel="0" collapsed="false">
      <c r="A5" s="2" t="n">
        <v>1</v>
      </c>
      <c r="B5" s="3" t="s">
        <v>12</v>
      </c>
      <c r="C5" s="2" t="n">
        <v>4</v>
      </c>
      <c r="D5" s="3" t="s">
        <v>18</v>
      </c>
      <c r="E5" s="3" t="s">
        <v>19</v>
      </c>
      <c r="F5" s="2" t="n">
        <v>15</v>
      </c>
      <c r="G5" s="2" t="n">
        <v>7</v>
      </c>
      <c r="H5" s="4" t="n">
        <v>1</v>
      </c>
      <c r="I5" s="4" t="n">
        <v>0</v>
      </c>
      <c r="J5" s="4" t="n">
        <v>0</v>
      </c>
      <c r="K5" s="3" t="s">
        <v>20</v>
      </c>
      <c r="L5" s="2"/>
    </row>
    <row r="6" customFormat="false" ht="15" hidden="false" customHeight="false" outlineLevel="0" collapsed="false">
      <c r="A6" s="5" t="n">
        <v>1</v>
      </c>
      <c r="B6" s="6" t="s">
        <v>12</v>
      </c>
      <c r="C6" s="5" t="n">
        <v>5</v>
      </c>
      <c r="D6" s="6" t="s">
        <v>21</v>
      </c>
      <c r="E6" s="6" t="s">
        <v>22</v>
      </c>
      <c r="F6" s="5" t="n">
        <v>30</v>
      </c>
      <c r="G6" s="5" t="n">
        <v>6</v>
      </c>
      <c r="H6" s="7" t="n">
        <v>1</v>
      </c>
      <c r="I6" s="7" t="n">
        <v>0</v>
      </c>
      <c r="J6" s="7" t="n">
        <v>0</v>
      </c>
      <c r="K6" s="6" t="s">
        <v>23</v>
      </c>
      <c r="L6" s="5" t="n">
        <v>250</v>
      </c>
    </row>
    <row r="7" customFormat="false" ht="15" hidden="false" customHeight="false" outlineLevel="0" collapsed="false">
      <c r="A7" s="8" t="n">
        <v>2</v>
      </c>
      <c r="B7" s="9" t="s">
        <v>24</v>
      </c>
      <c r="C7" s="8" t="n">
        <v>1</v>
      </c>
      <c r="D7" s="9" t="s">
        <v>13</v>
      </c>
      <c r="E7" s="9" t="s">
        <v>17</v>
      </c>
      <c r="F7" s="8" t="n">
        <v>25</v>
      </c>
      <c r="G7" s="8" t="n">
        <v>5</v>
      </c>
      <c r="H7" s="10" t="n">
        <v>0.8</v>
      </c>
      <c r="I7" s="10" t="n">
        <v>0.2</v>
      </c>
      <c r="J7" s="10" t="n">
        <v>0</v>
      </c>
      <c r="K7" s="9"/>
      <c r="L7" s="8"/>
    </row>
    <row r="8" customFormat="false" ht="15" hidden="false" customHeight="false" outlineLevel="0" collapsed="false">
      <c r="A8" s="8" t="n">
        <v>2</v>
      </c>
      <c r="B8" s="9" t="s">
        <v>24</v>
      </c>
      <c r="C8" s="8" t="n">
        <v>2</v>
      </c>
      <c r="D8" s="9" t="s">
        <v>15</v>
      </c>
      <c r="E8" s="9" t="s">
        <v>25</v>
      </c>
      <c r="F8" s="8" t="n">
        <v>45</v>
      </c>
      <c r="G8" s="8" t="n">
        <v>6</v>
      </c>
      <c r="H8" s="10" t="n">
        <v>0.8</v>
      </c>
      <c r="I8" s="10" t="n">
        <v>0.2</v>
      </c>
      <c r="J8" s="10" t="n">
        <v>0</v>
      </c>
      <c r="K8" s="9"/>
      <c r="L8" s="8"/>
    </row>
    <row r="9" customFormat="false" ht="15" hidden="false" customHeight="false" outlineLevel="0" collapsed="false">
      <c r="A9" s="8" t="n">
        <v>2</v>
      </c>
      <c r="B9" s="9" t="s">
        <v>24</v>
      </c>
      <c r="C9" s="8" t="n">
        <v>3</v>
      </c>
      <c r="D9" s="9" t="s">
        <v>13</v>
      </c>
      <c r="E9" s="9" t="s">
        <v>26</v>
      </c>
      <c r="F9" s="8" t="n">
        <v>15</v>
      </c>
      <c r="G9" s="8" t="n">
        <v>6</v>
      </c>
      <c r="H9" s="10" t="n">
        <v>0.7</v>
      </c>
      <c r="I9" s="10" t="n">
        <v>0.3</v>
      </c>
      <c r="J9" s="10" t="n">
        <v>0</v>
      </c>
      <c r="K9" s="9"/>
      <c r="L9" s="8"/>
    </row>
    <row r="10" customFormat="false" ht="23.85" hidden="false" customHeight="false" outlineLevel="0" collapsed="false">
      <c r="A10" s="8" t="n">
        <v>2</v>
      </c>
      <c r="B10" s="9" t="s">
        <v>24</v>
      </c>
      <c r="C10" s="8" t="n">
        <v>4</v>
      </c>
      <c r="D10" s="9" t="s">
        <v>18</v>
      </c>
      <c r="E10" s="9" t="s">
        <v>27</v>
      </c>
      <c r="F10" s="8" t="n">
        <v>20</v>
      </c>
      <c r="G10" s="8" t="n">
        <v>6</v>
      </c>
      <c r="H10" s="10" t="n">
        <v>0.6</v>
      </c>
      <c r="I10" s="10" t="n">
        <v>0.4</v>
      </c>
      <c r="J10" s="10" t="n">
        <v>0</v>
      </c>
      <c r="K10" s="9" t="s">
        <v>20</v>
      </c>
      <c r="L10" s="8"/>
    </row>
    <row r="11" customFormat="false" ht="23.85" hidden="false" customHeight="false" outlineLevel="0" collapsed="false">
      <c r="A11" s="11" t="n">
        <v>2</v>
      </c>
      <c r="B11" s="12" t="s">
        <v>24</v>
      </c>
      <c r="C11" s="11" t="n">
        <v>5</v>
      </c>
      <c r="D11" s="12" t="s">
        <v>21</v>
      </c>
      <c r="E11" s="12" t="s">
        <v>28</v>
      </c>
      <c r="F11" s="11" t="n">
        <v>35</v>
      </c>
      <c r="G11" s="11" t="n">
        <v>5</v>
      </c>
      <c r="H11" s="13" t="n">
        <v>0</v>
      </c>
      <c r="I11" s="13" t="n">
        <v>1</v>
      </c>
      <c r="J11" s="13" t="n">
        <v>0</v>
      </c>
      <c r="K11" s="12" t="s">
        <v>29</v>
      </c>
      <c r="L11" s="11" t="n">
        <v>350</v>
      </c>
    </row>
    <row r="12" customFormat="false" ht="15" hidden="false" customHeight="false" outlineLevel="0" collapsed="false">
      <c r="A12" s="14" t="n">
        <v>3</v>
      </c>
      <c r="B12" s="15" t="s">
        <v>30</v>
      </c>
      <c r="C12" s="14" t="n">
        <v>1</v>
      </c>
      <c r="D12" s="15" t="s">
        <v>13</v>
      </c>
      <c r="E12" s="15" t="s">
        <v>31</v>
      </c>
      <c r="F12" s="14" t="n">
        <v>25</v>
      </c>
      <c r="G12" s="14" t="n">
        <v>6</v>
      </c>
      <c r="H12" s="16" t="n">
        <v>0</v>
      </c>
      <c r="I12" s="16" t="n">
        <v>0.8</v>
      </c>
      <c r="J12" s="16" t="n">
        <v>0.2</v>
      </c>
      <c r="K12" s="15" t="s">
        <v>32</v>
      </c>
      <c r="L12" s="14"/>
    </row>
    <row r="13" customFormat="false" ht="15" hidden="false" customHeight="false" outlineLevel="0" collapsed="false">
      <c r="A13" s="14" t="n">
        <v>3</v>
      </c>
      <c r="B13" s="15" t="s">
        <v>30</v>
      </c>
      <c r="C13" s="14" t="n">
        <v>2</v>
      </c>
      <c r="D13" s="15" t="s">
        <v>15</v>
      </c>
      <c r="E13" s="15" t="s">
        <v>25</v>
      </c>
      <c r="F13" s="14" t="n">
        <v>45</v>
      </c>
      <c r="G13" s="14" t="n">
        <v>6</v>
      </c>
      <c r="H13" s="16" t="n">
        <v>0.7</v>
      </c>
      <c r="I13" s="16" t="n">
        <v>0</v>
      </c>
      <c r="J13" s="16" t="n">
        <v>0.3</v>
      </c>
      <c r="K13" s="15"/>
      <c r="L13" s="14"/>
    </row>
    <row r="14" customFormat="false" ht="23.85" hidden="false" customHeight="false" outlineLevel="0" collapsed="false">
      <c r="A14" s="14" t="n">
        <v>3</v>
      </c>
      <c r="B14" s="15" t="s">
        <v>30</v>
      </c>
      <c r="C14" s="14" t="n">
        <v>3</v>
      </c>
      <c r="D14" s="15" t="s">
        <v>18</v>
      </c>
      <c r="E14" s="15" t="s">
        <v>33</v>
      </c>
      <c r="F14" s="14" t="n">
        <v>25</v>
      </c>
      <c r="G14" s="14" t="n">
        <v>6</v>
      </c>
      <c r="H14" s="16" t="n">
        <v>0</v>
      </c>
      <c r="I14" s="16" t="n">
        <v>0.6</v>
      </c>
      <c r="J14" s="16" t="n">
        <v>0.4</v>
      </c>
      <c r="K14" s="15"/>
      <c r="L14" s="14"/>
    </row>
    <row r="15" customFormat="false" ht="15" hidden="false" customHeight="false" outlineLevel="0" collapsed="false">
      <c r="A15" s="14" t="n">
        <v>3</v>
      </c>
      <c r="B15" s="15" t="s">
        <v>30</v>
      </c>
      <c r="C15" s="14" t="n">
        <v>4</v>
      </c>
      <c r="D15" s="15" t="s">
        <v>13</v>
      </c>
      <c r="E15" s="15" t="s">
        <v>34</v>
      </c>
      <c r="F15" s="14" t="n">
        <v>20</v>
      </c>
      <c r="G15" s="14" t="n">
        <v>7</v>
      </c>
      <c r="H15" s="16" t="n">
        <v>0</v>
      </c>
      <c r="I15" s="16" t="n">
        <v>0.6</v>
      </c>
      <c r="J15" s="16" t="n">
        <v>0.4</v>
      </c>
      <c r="K15" s="15"/>
      <c r="L15" s="14"/>
    </row>
    <row r="16" customFormat="false" ht="23.85" hidden="false" customHeight="false" outlineLevel="0" collapsed="false">
      <c r="A16" s="17" t="n">
        <v>3</v>
      </c>
      <c r="B16" s="18" t="s">
        <v>30</v>
      </c>
      <c r="C16" s="17" t="n">
        <v>5</v>
      </c>
      <c r="D16" s="18" t="s">
        <v>21</v>
      </c>
      <c r="E16" s="18" t="s">
        <v>35</v>
      </c>
      <c r="F16" s="17" t="n">
        <v>45</v>
      </c>
      <c r="G16" s="17" t="n">
        <v>5</v>
      </c>
      <c r="H16" s="19" t="n">
        <v>0</v>
      </c>
      <c r="I16" s="19" t="n">
        <v>0</v>
      </c>
      <c r="J16" s="19" t="n">
        <v>1</v>
      </c>
      <c r="K16" s="18" t="s">
        <v>36</v>
      </c>
      <c r="L16" s="17" t="n">
        <v>500</v>
      </c>
    </row>
  </sheetData>
  <autoFilter ref="A1:L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5"/>
  </cols>
  <sheetData>
    <row r="1" customFormat="false" ht="15" hidden="false" customHeight="false" outlineLevel="0" collapsed="false">
      <c r="A1" s="20" t="s">
        <v>0</v>
      </c>
      <c r="B1" s="20" t="s">
        <v>37</v>
      </c>
      <c r="C1" s="20" t="s">
        <v>13</v>
      </c>
      <c r="D1" s="20" t="s">
        <v>15</v>
      </c>
      <c r="E1" s="20" t="s">
        <v>18</v>
      </c>
      <c r="F1" s="20" t="s">
        <v>21</v>
      </c>
    </row>
    <row r="2" customFormat="false" ht="15" hidden="false" customHeight="false" outlineLevel="0" collapsed="false">
      <c r="A2" s="21" t="n">
        <v>1</v>
      </c>
      <c r="B2" s="21" t="n">
        <f aca="false">COUNTIF(Missions!$A$2:$A$16,A2)</f>
        <v>5</v>
      </c>
      <c r="C2" s="21" t="n">
        <f aca="false">COUNTIFS(Missions!$A$2:$A$16,$A2,Missions!$D$2:$D$16,"Kills")</f>
        <v>2</v>
      </c>
      <c r="D2" s="21" t="n">
        <f aca="false">COUNTIFS(Missions!$A$2:$A$16,$A2,Missions!$D$2:$D$16,"Time Attack")</f>
        <v>1</v>
      </c>
      <c r="E2" s="21" t="n">
        <f aca="false">COUNTIFS(Missions!$A$2:$A$16,$A2,Missions!$D$2:$D$16,"Find the Z80")</f>
        <v>1</v>
      </c>
      <c r="F2" s="21" t="n">
        <f aca="false">COUNTIFS(Missions!$A$2:$A$16,$A2,Missions!$D$2:$D$16,"Boss")</f>
        <v>1</v>
      </c>
    </row>
    <row r="3" customFormat="false" ht="15" hidden="false" customHeight="false" outlineLevel="0" collapsed="false">
      <c r="A3" s="21" t="n">
        <v>2</v>
      </c>
      <c r="B3" s="21" t="n">
        <f aca="false">COUNTIF(Missions!$A$2:$A$16,A3)</f>
        <v>5</v>
      </c>
      <c r="C3" s="21" t="n">
        <f aca="false">COUNTIFS(Missions!$A$2:$A$16,$A3,Missions!$D$2:$D$16,"Kills")</f>
        <v>2</v>
      </c>
      <c r="D3" s="21" t="n">
        <f aca="false">COUNTIFS(Missions!$A$2:$A$16,$A3,Missions!$D$2:$D$16,"Time Attack")</f>
        <v>1</v>
      </c>
      <c r="E3" s="21" t="n">
        <f aca="false">COUNTIFS(Missions!$A$2:$A$16,$A3,Missions!$D$2:$D$16,"Find the Z80")</f>
        <v>1</v>
      </c>
      <c r="F3" s="21" t="n">
        <f aca="false">COUNTIFS(Missions!$A$2:$A$16,$A3,Missions!$D$2:$D$16,"Boss")</f>
        <v>1</v>
      </c>
    </row>
    <row r="4" customFormat="false" ht="15" hidden="false" customHeight="false" outlineLevel="0" collapsed="false">
      <c r="A4" s="21" t="n">
        <v>3</v>
      </c>
      <c r="B4" s="21" t="n">
        <f aca="false">COUNTIF(Missions!$A$2:$A$16,A4)</f>
        <v>5</v>
      </c>
      <c r="C4" s="21" t="n">
        <f aca="false">COUNTIFS(Missions!$A$2:$A$16,$A4,Missions!$D$2:$D$16,"Kills")</f>
        <v>2</v>
      </c>
      <c r="D4" s="21" t="n">
        <f aca="false">COUNTIFS(Missions!$A$2:$A$16,$A4,Missions!$D$2:$D$16,"Time Attack")</f>
        <v>1</v>
      </c>
      <c r="E4" s="21" t="n">
        <f aca="false">COUNTIFS(Missions!$A$2:$A$16,$A4,Missions!$D$2:$D$16,"Find the Z80")</f>
        <v>1</v>
      </c>
      <c r="F4" s="21" t="n">
        <f aca="false">COUNTIFS(Missions!$A$2:$A$16,$A4,Missions!$D$2:$D$16,"Boss")</f>
        <v>1</v>
      </c>
    </row>
    <row r="5" customFormat="false" ht="15" hidden="false" customHeight="false" outlineLevel="0" collapsed="false">
      <c r="A5" s="22" t="s">
        <v>38</v>
      </c>
      <c r="B5" s="22" t="n">
        <f aca="false">SUM(B2:B4)</f>
        <v>15</v>
      </c>
      <c r="C5" s="22" t="n">
        <f aca="false">SUM(C2:C4)</f>
        <v>6</v>
      </c>
      <c r="D5" s="22" t="n">
        <f aca="false">SUM(D2:D4)</f>
        <v>3</v>
      </c>
      <c r="E5" s="22" t="n">
        <f aca="false">SUM(E2:E4)</f>
        <v>3</v>
      </c>
      <c r="F5" s="22" t="n">
        <f aca="false">SUM(F2:F4)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23" t="s">
        <v>39</v>
      </c>
      <c r="B1" s="23" t="s">
        <v>40</v>
      </c>
      <c r="C1" s="23" t="s">
        <v>41</v>
      </c>
    </row>
    <row r="2" customFormat="false" ht="15" hidden="false" customHeight="false" outlineLevel="0" collapsed="false">
      <c r="A2" s="24" t="s">
        <v>42</v>
      </c>
      <c r="B2" s="24" t="n">
        <v>1</v>
      </c>
      <c r="C2" s="24"/>
    </row>
    <row r="3" customFormat="false" ht="15" hidden="false" customHeight="false" outlineLevel="0" collapsed="false">
      <c r="A3" s="24" t="s">
        <v>43</v>
      </c>
      <c r="B3" s="24" t="n">
        <v>2</v>
      </c>
      <c r="C3" s="24" t="s">
        <v>44</v>
      </c>
    </row>
    <row r="4" customFormat="false" ht="15" hidden="false" customHeight="false" outlineLevel="0" collapsed="false">
      <c r="A4" s="24" t="s">
        <v>45</v>
      </c>
      <c r="B4" s="24" t="n">
        <v>3</v>
      </c>
      <c r="C4" s="24" t="s">
        <v>46</v>
      </c>
    </row>
    <row r="5" customFormat="false" ht="15" hidden="false" customHeight="false" outlineLevel="0" collapsed="false">
      <c r="A5" s="24" t="s">
        <v>47</v>
      </c>
      <c r="B5" s="24" t="n">
        <v>30</v>
      </c>
      <c r="C5" s="24" t="s">
        <v>48</v>
      </c>
    </row>
    <row r="6" customFormat="false" ht="15" hidden="false" customHeight="false" outlineLevel="0" collapsed="false">
      <c r="A6" s="24" t="s">
        <v>49</v>
      </c>
      <c r="B6" s="24" t="n">
        <v>35</v>
      </c>
      <c r="C6" s="24" t="s">
        <v>50</v>
      </c>
    </row>
    <row r="7" customFormat="false" ht="15" hidden="false" customHeight="false" outlineLevel="0" collapsed="false">
      <c r="A7" s="24" t="s">
        <v>51</v>
      </c>
      <c r="B7" s="24" t="n">
        <v>45</v>
      </c>
      <c r="C7" s="24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15" hidden="false" customHeight="false" outlineLevel="0" collapsed="false">
      <c r="A1" s="23" t="s">
        <v>53</v>
      </c>
    </row>
    <row r="2" customFormat="false" ht="15" hidden="false" customHeight="false" outlineLevel="0" collapsed="false">
      <c r="A2" s="25" t="s">
        <v>54</v>
      </c>
    </row>
    <row r="3" customFormat="false" ht="15" hidden="false" customHeight="false" outlineLevel="0" collapsed="false">
      <c r="A3" s="25" t="s">
        <v>55</v>
      </c>
    </row>
    <row r="4" customFormat="false" ht="15" hidden="false" customHeight="false" outlineLevel="0" collapsed="false">
      <c r="A4" s="25" t="s">
        <v>56</v>
      </c>
    </row>
    <row r="5" customFormat="false" ht="15" hidden="false" customHeight="false" outlineLevel="0" collapsed="false">
      <c r="A5" s="25" t="s">
        <v>57</v>
      </c>
    </row>
    <row r="6" customFormat="false" ht="15" hidden="false" customHeight="false" outlineLevel="0" collapsed="false">
      <c r="A6" s="25" t="s">
        <v>58</v>
      </c>
    </row>
    <row r="7" customFormat="false" ht="15" hidden="false" customHeight="false" outlineLevel="0" collapsed="false">
      <c r="A7" s="25" t="s">
        <v>59</v>
      </c>
    </row>
    <row r="8" customFormat="false" ht="15" hidden="false" customHeight="false" outlineLevel="0" collapsed="false">
      <c r="A8" s="25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2026-10-19T14:43:21Z</dcterms:created>
  <dc:creator>openpyxl</dc:creator>
  <dc:description/>
  <dc:language>en-US</dc:language>
  <cp:lastModifiedBy/>
  <dcterms:modified xsi:type="dcterms:W3CDTF">2026-10-19T14:43:21Z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