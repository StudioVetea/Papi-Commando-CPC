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ission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Ennemis" sheetId="3" state="visible" r:id="rId3"/>
    <sheet xmlns:r="http://schemas.openxmlformats.org/officeDocument/2006/relationships" name="Règles" sheetId="4" state="visible" r:id="rId4"/>
  </sheets>
  <definedNames>
    <definedName name="_xlnm._FilterDatabase" localSheetId="0" hidden="1">'Missions'!$A$1:$L$16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%;\-0%;\-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general" vertical="top" wrapText="1"/>
    </xf>
    <xf numFmtId="164" fontId="6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general" vertical="top" wrapText="1"/>
    </xf>
    <xf numFmtId="164" fontId="5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general" vertical="top" wrapText="1"/>
    </xf>
    <xf numFmtId="164" fontId="6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general" vertical="top" wrapText="1"/>
    </xf>
    <xf numFmtId="164" fontId="5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general" vertical="top" wrapText="1"/>
    </xf>
    <xf numFmtId="164" fontId="6" fillId="5" borderId="1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general" vertical="top" wrapText="1"/>
    </xf>
    <xf numFmtId="164" fontId="6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general" vertical="top" wrapText="1"/>
    </xf>
    <xf numFmtId="164" fontId="5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general" vertical="top" wrapText="1"/>
    </xf>
    <xf numFmtId="164" fontId="6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general" vertical="top" wrapText="1"/>
    </xf>
    <xf numFmtId="164" fontId="5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general" vertical="top" wrapText="1"/>
    </xf>
    <xf numFmtId="164" fontId="6" fillId="5" borderId="1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22" customWidth="1" style="26" min="2" max="2"/>
    <col width="9" customWidth="1" style="26" min="3" max="3"/>
    <col width="14" customWidth="1" style="26" min="4" max="4"/>
    <col width="46" customWidth="1" style="26" min="5" max="5"/>
    <col width="14" customWidth="1" style="26" min="6" max="6"/>
    <col width="12" customWidth="1" style="26" min="7" max="7"/>
    <col width="10" customWidth="1" style="26" min="8" max="10"/>
    <col width="52" customWidth="1" style="26" min="11" max="11"/>
    <col width="12" customWidth="1" style="26" min="12" max="12"/>
  </cols>
  <sheetData>
    <row r="1" ht="31.5" customHeight="1" s="27">
      <c r="A1" s="28" t="inlineStr">
        <is>
          <t>Zone</t>
        </is>
      </c>
      <c r="B1" s="28" t="inlineStr">
        <is>
          <t>Nom de la zone</t>
        </is>
      </c>
      <c r="C1" s="28" t="inlineStr">
        <is>
          <t>Mission</t>
        </is>
      </c>
      <c r="D1" s="28" t="inlineStr">
        <is>
          <t>Type</t>
        </is>
      </c>
      <c r="E1" s="28" t="inlineStr">
        <is>
          <t>Objectif</t>
        </is>
      </c>
      <c r="F1" s="28" t="inlineStr">
        <is>
          <t>Quota (kills ou secondes)</t>
        </is>
      </c>
      <c r="G1" s="28" t="inlineStr">
        <is>
          <t>Unités max à l'écran</t>
        </is>
      </c>
      <c r="H1" s="28" t="inlineStr">
        <is>
          <t>% soldats</t>
        </is>
      </c>
      <c r="I1" s="28" t="inlineStr">
        <is>
          <t>% officiers</t>
        </is>
      </c>
      <c r="J1" s="28" t="inlineStr">
        <is>
          <t>% généraux</t>
        </is>
      </c>
      <c r="K1" s="28" t="inlineStr">
        <is>
          <t>Spécificités</t>
        </is>
      </c>
      <c r="L1" s="28" t="inlineStr">
        <is>
          <t>Score du boss</t>
        </is>
      </c>
    </row>
    <row r="2" ht="15" customHeight="1" s="27">
      <c r="A2" s="29" t="n">
        <v>1</v>
      </c>
      <c r="B2" s="30" t="inlineStr">
        <is>
          <t>OUTPOST C-01</t>
        </is>
      </c>
      <c r="C2" s="29" t="n">
        <v>1</v>
      </c>
      <c r="D2" s="30" t="inlineStr">
        <is>
          <t>Kills</t>
        </is>
      </c>
      <c r="E2" s="30" t="inlineStr">
        <is>
          <t>Tuer 15 soldats</t>
        </is>
      </c>
      <c r="F2" s="29" t="n">
        <v>15</v>
      </c>
      <c r="G2" s="29" t="n">
        <v>5</v>
      </c>
      <c r="H2" s="31" t="n">
        <v>1</v>
      </c>
      <c r="I2" s="31" t="n">
        <v>0</v>
      </c>
      <c r="J2" s="31" t="n">
        <v>0</v>
      </c>
      <c r="K2" s="30" t="n"/>
      <c r="L2" s="29" t="n"/>
    </row>
    <row r="3" ht="15" customHeight="1" s="27">
      <c r="A3" s="29" t="n">
        <v>1</v>
      </c>
      <c r="B3" s="30" t="inlineStr">
        <is>
          <t>OUTPOST C-01</t>
        </is>
      </c>
      <c r="C3" s="29" t="n">
        <v>2</v>
      </c>
      <c r="D3" s="30" t="inlineStr">
        <is>
          <t>Time Attack</t>
        </is>
      </c>
      <c r="E3" s="30" t="inlineStr">
        <is>
          <t>Survivre 30 s</t>
        </is>
      </c>
      <c r="F3" s="29" t="n">
        <v>30</v>
      </c>
      <c r="G3" s="29" t="n">
        <v>5</v>
      </c>
      <c r="H3" s="31" t="n">
        <v>1</v>
      </c>
      <c r="I3" s="31" t="n">
        <v>0</v>
      </c>
      <c r="J3" s="31" t="n">
        <v>0</v>
      </c>
      <c r="K3" s="30" t="n"/>
      <c r="L3" s="29" t="n"/>
    </row>
    <row r="4" ht="15" customHeight="1" s="27">
      <c r="A4" s="29" t="n">
        <v>1</v>
      </c>
      <c r="B4" s="30" t="inlineStr">
        <is>
          <t>OUTPOST C-01</t>
        </is>
      </c>
      <c r="C4" s="29" t="n">
        <v>3</v>
      </c>
      <c r="D4" s="30" t="inlineStr">
        <is>
          <t>Kills</t>
        </is>
      </c>
      <c r="E4" s="30" t="inlineStr">
        <is>
          <t>Tuer 25 soldats</t>
        </is>
      </c>
      <c r="F4" s="29" t="n">
        <v>25</v>
      </c>
      <c r="G4" s="29" t="n">
        <v>6</v>
      </c>
      <c r="H4" s="31" t="n">
        <v>1</v>
      </c>
      <c r="I4" s="31" t="n">
        <v>0</v>
      </c>
      <c r="J4" s="31" t="n">
        <v>0</v>
      </c>
      <c r="K4" s="30" t="n"/>
      <c r="L4" s="29" t="n"/>
    </row>
    <row r="5" ht="23.85" customHeight="1" s="27">
      <c r="A5" s="29" t="n">
        <v>1</v>
      </c>
      <c r="B5" s="30" t="inlineStr">
        <is>
          <t>OUTPOST C-01</t>
        </is>
      </c>
      <c r="C5" s="29" t="n">
        <v>4</v>
      </c>
      <c r="D5" s="30" t="inlineStr">
        <is>
          <t>Find the Z80</t>
        </is>
      </c>
      <c r="E5" s="30" t="inlineStr">
        <is>
          <t>Trouver le Z80 : il apparaît au bout de 15 kills ; le ramasser</t>
        </is>
      </c>
      <c r="F5" s="29" t="n">
        <v>15</v>
      </c>
      <c r="G5" s="29" t="n">
        <v>7</v>
      </c>
      <c r="H5" s="31" t="n">
        <v>1</v>
      </c>
      <c r="I5" s="31" t="n">
        <v>0</v>
      </c>
      <c r="J5" s="31" t="n">
        <v>0</v>
      </c>
      <c r="K5" s="30" t="inlineStr">
        <is>
          <t>Fin de mission à la prise du Z80</t>
        </is>
      </c>
      <c r="L5" s="29" t="n"/>
    </row>
    <row r="6" ht="15" customHeight="1" s="27">
      <c r="A6" s="32" t="n">
        <v>1</v>
      </c>
      <c r="B6" s="33" t="inlineStr">
        <is>
          <t>OUTPOST C-01</t>
        </is>
      </c>
      <c r="C6" s="32" t="n">
        <v>5</v>
      </c>
      <c r="D6" s="33" t="inlineStr">
        <is>
          <t>Boss</t>
        </is>
      </c>
      <c r="E6" s="33" t="inlineStr">
        <is>
          <t>Tuer Boss Caporal Garatonku</t>
        </is>
      </c>
      <c r="F6" s="32" t="n">
        <v>30</v>
      </c>
      <c r="G6" s="32" t="n">
        <v>6</v>
      </c>
      <c r="H6" s="34" t="n">
        <v>1</v>
      </c>
      <c r="I6" s="34" t="n">
        <v>0</v>
      </c>
      <c r="J6" s="34" t="n">
        <v>0</v>
      </c>
      <c r="K6" s="33" t="inlineStr">
        <is>
          <t>30 PV ; corps + tête (2 places) + garde de soldats</t>
        </is>
      </c>
      <c r="L6" s="32" t="n">
        <v>250</v>
      </c>
    </row>
    <row r="7" ht="15" customHeight="1" s="27">
      <c r="A7" s="35" t="n">
        <v>2</v>
      </c>
      <c r="B7" s="36" t="inlineStr">
        <is>
          <t>THE LOST BARRACKS</t>
        </is>
      </c>
      <c r="C7" s="35" t="n">
        <v>1</v>
      </c>
      <c r="D7" s="36" t="inlineStr">
        <is>
          <t>Kills</t>
        </is>
      </c>
      <c r="E7" s="36" t="inlineStr">
        <is>
          <t>Tuer 25 soldats</t>
        </is>
      </c>
      <c r="F7" s="35" t="n">
        <v>25</v>
      </c>
      <c r="G7" s="35" t="n">
        <v>5</v>
      </c>
      <c r="H7" s="37" t="n">
        <v>0.8</v>
      </c>
      <c r="I7" s="37" t="n">
        <v>0.2</v>
      </c>
      <c r="J7" s="37" t="n">
        <v>0</v>
      </c>
      <c r="K7" s="36" t="n"/>
      <c r="L7" s="35" t="n"/>
    </row>
    <row r="8" ht="15" customHeight="1" s="27">
      <c r="A8" s="35" t="n">
        <v>2</v>
      </c>
      <c r="B8" s="36" t="inlineStr">
        <is>
          <t>THE LOST BARRACKS</t>
        </is>
      </c>
      <c r="C8" s="35" t="n">
        <v>2</v>
      </c>
      <c r="D8" s="36" t="inlineStr">
        <is>
          <t>Time Attack</t>
        </is>
      </c>
      <c r="E8" s="36" t="inlineStr">
        <is>
          <t>Survivre 45 s</t>
        </is>
      </c>
      <c r="F8" s="35" t="n">
        <v>45</v>
      </c>
      <c r="G8" s="35" t="n">
        <v>6</v>
      </c>
      <c r="H8" s="37" t="n">
        <v>0.8</v>
      </c>
      <c r="I8" s="37" t="n">
        <v>0.2</v>
      </c>
      <c r="J8" s="37" t="n">
        <v>0</v>
      </c>
      <c r="K8" s="36" t="n"/>
      <c r="L8" s="35" t="n"/>
    </row>
    <row r="9" ht="15" customHeight="1" s="27">
      <c r="A9" s="35" t="n">
        <v>2</v>
      </c>
      <c r="B9" s="36" t="inlineStr">
        <is>
          <t>THE LOST BARRACKS</t>
        </is>
      </c>
      <c r="C9" s="35" t="n">
        <v>3</v>
      </c>
      <c r="D9" s="36" t="inlineStr">
        <is>
          <t>Kills</t>
        </is>
      </c>
      <c r="E9" s="36" t="inlineStr">
        <is>
          <t>Tuer 15 officiers</t>
        </is>
      </c>
      <c r="F9" s="35" t="n">
        <v>15</v>
      </c>
      <c r="G9" s="35" t="n">
        <v>6</v>
      </c>
      <c r="H9" s="37" t="n">
        <v>0.7</v>
      </c>
      <c r="I9" s="37" t="n">
        <v>0.3</v>
      </c>
      <c r="J9" s="37" t="n">
        <v>0</v>
      </c>
      <c r="K9" s="36" t="n"/>
      <c r="L9" s="35" t="n"/>
    </row>
    <row r="10" ht="23.85" customHeight="1" s="27">
      <c r="A10" s="35" t="n">
        <v>2</v>
      </c>
      <c r="B10" s="36" t="inlineStr">
        <is>
          <t>THE LOST BARRACKS</t>
        </is>
      </c>
      <c r="C10" s="35" t="n">
        <v>4</v>
      </c>
      <c r="D10" s="36" t="inlineStr">
        <is>
          <t>Find the Z80</t>
        </is>
      </c>
      <c r="E10" s="36" t="inlineStr">
        <is>
          <t>Trouver le Z80 : il apparaît au bout de 20 kills ; le ramasser</t>
        </is>
      </c>
      <c r="F10" s="35" t="n">
        <v>20</v>
      </c>
      <c r="G10" s="35" t="n">
        <v>6</v>
      </c>
      <c r="H10" s="37" t="n">
        <v>0.6</v>
      </c>
      <c r="I10" s="37" t="n">
        <v>0.4</v>
      </c>
      <c r="J10" s="37" t="n">
        <v>0</v>
      </c>
      <c r="K10" s="36" t="inlineStr">
        <is>
          <t>Fin de mission à la prise du Z80</t>
        </is>
      </c>
      <c r="L10" s="35" t="n"/>
    </row>
    <row r="11" ht="23.85" customHeight="1" s="27">
      <c r="A11" s="38" t="n">
        <v>2</v>
      </c>
      <c r="B11" s="39" t="inlineStr">
        <is>
          <t>THE LOST BARRACKS</t>
        </is>
      </c>
      <c r="C11" s="38" t="n">
        <v>5</v>
      </c>
      <c r="D11" s="39" t="inlineStr">
        <is>
          <t>Boss</t>
        </is>
      </c>
      <c r="E11" s="39" t="inlineStr">
        <is>
          <t>Tuer Boss Capitaine DanTaGoul</t>
        </is>
      </c>
      <c r="F11" s="38" t="n">
        <v>35</v>
      </c>
      <c r="G11" s="38" t="n">
        <v>5</v>
      </c>
      <c r="H11" s="40" t="n">
        <v>0</v>
      </c>
      <c r="I11" s="40" t="n">
        <v>1</v>
      </c>
      <c r="J11" s="40" t="n">
        <v>0</v>
      </c>
      <c r="K11" s="39" t="inlineStr">
        <is>
          <t>35 PV ; +15 % de vitesse ; 1 tir/s ; 5 s à couvert ; escorte d'officiers</t>
        </is>
      </c>
      <c r="L11" s="38" t="n">
        <v>350</v>
      </c>
    </row>
    <row r="12" ht="15" customHeight="1" s="27">
      <c r="A12" s="41" t="n">
        <v>3</v>
      </c>
      <c r="B12" s="42" t="inlineStr">
        <is>
          <t>HIDDEN HEADQUARTER</t>
        </is>
      </c>
      <c r="C12" s="41" t="n">
        <v>1</v>
      </c>
      <c r="D12" s="42" t="inlineStr">
        <is>
          <t>Kills</t>
        </is>
      </c>
      <c r="E12" s="42" t="inlineStr">
        <is>
          <t>Tuer 25 officiers</t>
        </is>
      </c>
      <c r="F12" s="41" t="n">
        <v>25</v>
      </c>
      <c r="G12" s="41" t="n">
        <v>6</v>
      </c>
      <c r="H12" s="43" t="n">
        <v>0</v>
      </c>
      <c r="I12" s="43" t="n">
        <v>0.8</v>
      </c>
      <c r="J12" s="43" t="n">
        <v>0.2</v>
      </c>
      <c r="K12" s="42" t="inlineStr">
        <is>
          <t>Eau animée</t>
        </is>
      </c>
      <c r="L12" s="41" t="n"/>
    </row>
    <row r="13" ht="15" customHeight="1" s="27">
      <c r="A13" s="41" t="n">
        <v>3</v>
      </c>
      <c r="B13" s="42" t="inlineStr">
        <is>
          <t>HIDDEN HEADQUARTER</t>
        </is>
      </c>
      <c r="C13" s="41" t="n">
        <v>2</v>
      </c>
      <c r="D13" s="42" t="inlineStr">
        <is>
          <t>Time Attack</t>
        </is>
      </c>
      <c r="E13" s="42" t="inlineStr">
        <is>
          <t>Survivre 45 s</t>
        </is>
      </c>
      <c r="F13" s="41" t="n">
        <v>45</v>
      </c>
      <c r="G13" s="41" t="n">
        <v>6</v>
      </c>
      <c r="H13" s="43" t="n">
        <v>0.7</v>
      </c>
      <c r="I13" s="43" t="n">
        <v>0</v>
      </c>
      <c r="J13" s="43" t="n">
        <v>0.3</v>
      </c>
      <c r="K13" s="42" t="n"/>
      <c r="L13" s="41" t="n"/>
    </row>
    <row r="14" ht="23.85" customHeight="1" s="27">
      <c r="A14" s="41" t="n">
        <v>3</v>
      </c>
      <c r="B14" s="42" t="inlineStr">
        <is>
          <t>HIDDEN HEADQUARTER</t>
        </is>
      </c>
      <c r="C14" s="41" t="n">
        <v>3</v>
      </c>
      <c r="D14" s="42" t="inlineStr">
        <is>
          <t>Find the Z80</t>
        </is>
      </c>
      <c r="E14" s="42" t="inlineStr">
        <is>
          <t>Trouver le Z80 : il apparaît au bout de 25 kills ; le ramasser</t>
        </is>
      </c>
      <c r="F14" s="41" t="n">
        <v>25</v>
      </c>
      <c r="G14" s="41" t="n">
        <v>6</v>
      </c>
      <c r="H14" s="43" t="n">
        <v>0</v>
      </c>
      <c r="I14" s="43" t="n">
        <v>0.6</v>
      </c>
      <c r="J14" s="43" t="n">
        <v>0.4</v>
      </c>
      <c r="K14" s="42" t="n"/>
      <c r="L14" s="41" t="n"/>
    </row>
    <row r="15" ht="15" customHeight="1" s="27">
      <c r="A15" s="41" t="n">
        <v>3</v>
      </c>
      <c r="B15" s="42" t="inlineStr">
        <is>
          <t>HIDDEN HEADQUARTER</t>
        </is>
      </c>
      <c r="C15" s="41" t="n">
        <v>4</v>
      </c>
      <c r="D15" s="42" t="inlineStr">
        <is>
          <t>Kills</t>
        </is>
      </c>
      <c r="E15" s="42" t="inlineStr">
        <is>
          <t>Tuer 20 généraux</t>
        </is>
      </c>
      <c r="F15" s="41" t="n">
        <v>20</v>
      </c>
      <c r="G15" s="41" t="n">
        <v>7</v>
      </c>
      <c r="H15" s="43" t="n">
        <v>0</v>
      </c>
      <c r="I15" s="43" t="n">
        <v>0.6</v>
      </c>
      <c r="J15" s="43" t="n">
        <v>0.4</v>
      </c>
      <c r="K15" s="42" t="n"/>
      <c r="L15" s="41" t="n"/>
    </row>
    <row r="16" ht="23.85" customHeight="1" s="27">
      <c r="A16" s="44" t="n">
        <v>3</v>
      </c>
      <c r="B16" s="45" t="inlineStr">
        <is>
          <t>HIDDEN HEADQUARTER</t>
        </is>
      </c>
      <c r="C16" s="44" t="n">
        <v>5</v>
      </c>
      <c r="D16" s="45" t="inlineStr">
        <is>
          <t>Boss</t>
        </is>
      </c>
      <c r="E16" s="45" t="inlineStr">
        <is>
          <t>Tuer Boss Général Falzar</t>
        </is>
      </c>
      <c r="F16" s="44" t="n">
        <v>45</v>
      </c>
      <c r="G16" s="44" t="n">
        <v>5</v>
      </c>
      <c r="H16" s="46" t="n">
        <v>0</v>
      </c>
      <c r="I16" s="46" t="n">
        <v>0</v>
      </c>
      <c r="J16" s="46" t="n">
        <v>1</v>
      </c>
      <c r="K16" s="45" t="inlineStr">
        <is>
          <t>45 PV ; plus rapide que les généraux ; rafales de 3 ; pas de grenade ; 5 s à couvert ; boss entre 2 gardes</t>
        </is>
      </c>
      <c r="L16" s="44" t="n">
        <v>500</v>
      </c>
    </row>
    <row r="17">
      <c r="A17" s="44" t="n">
        <v>4</v>
      </c>
      <c r="B17" s="45" t="inlineStr">
        <is>
          <t>TWIN ROADS</t>
        </is>
      </c>
      <c r="C17" s="44" t="n">
        <v>1</v>
      </c>
      <c r="D17" s="45" t="inlineStr">
        <is>
          <t>Boss</t>
        </is>
      </c>
      <c r="E17" s="45" t="inlineStr">
        <is>
          <t>Détruire l'ArmyTruck</t>
        </is>
      </c>
      <c r="F17" s="44" t="n">
        <v>50</v>
      </c>
      <c r="G17" s="44" t="n">
        <v>6</v>
      </c>
      <c r="H17" s="46" t="n">
        <v>1</v>
      </c>
      <c r="I17" s="46" t="n">
        <v>0</v>
      </c>
      <c r="J17" s="46" t="n">
        <v>0</v>
      </c>
      <c r="K17" s="45" t="inlineStr">
        <is>
          <t>ArmyTruck 50 PV, non armé, largue un soldat toutes les 2 s ; 500 points; vitesse 2 x Papi; routes noires</t>
        </is>
      </c>
      <c r="L17" s="44" t="n">
        <v>500</v>
      </c>
    </row>
    <row r="18">
      <c r="A18" s="44" t="n">
        <v>4</v>
      </c>
      <c r="B18" s="45" t="inlineStr">
        <is>
          <t>TWIN ROADS</t>
        </is>
      </c>
      <c r="C18" s="44" t="n">
        <v>2</v>
      </c>
      <c r="D18" s="45" t="inlineStr">
        <is>
          <t>Find the Z80</t>
        </is>
      </c>
      <c r="E18" s="45" t="inlineStr">
        <is>
          <t>Trouver le Z80 : il apparaît au bout de 15 kills ; le ramasser</t>
        </is>
      </c>
      <c r="F18" s="44" t="n">
        <v>15</v>
      </c>
      <c r="G18" s="44" t="n">
        <v>5</v>
      </c>
      <c r="H18" s="46" t="n">
        <v>0</v>
      </c>
      <c r="I18" s="46" t="n">
        <v>1</v>
      </c>
      <c r="J18" s="46" t="n">
        <v>0</v>
      </c>
      <c r="K18" s="45" t="inlineStr">
        <is>
          <t>ArmyTruck (50 PV) transportant des officiers ; s'il est détruit, un autre prend sa place</t>
        </is>
      </c>
      <c r="L18" s="44" t="n"/>
    </row>
    <row r="19">
      <c r="A19" s="44" t="n">
        <v>4</v>
      </c>
      <c r="B19" s="45" t="inlineStr">
        <is>
          <t>TWIN ROADS</t>
        </is>
      </c>
      <c r="C19" s="44" t="n">
        <v>3</v>
      </c>
      <c r="D19" s="45" t="inlineStr">
        <is>
          <t>Time Attack</t>
        </is>
      </c>
      <c r="E19" s="45" t="inlineStr">
        <is>
          <t>Survivre 40 s</t>
        </is>
      </c>
      <c r="F19" s="44" t="n">
        <v>40</v>
      </c>
      <c r="G19" s="44" t="n">
        <v>6</v>
      </c>
      <c r="H19" s="46" t="n">
        <v>0</v>
      </c>
      <c r="I19" s="46" t="n">
        <v>1</v>
      </c>
      <c r="J19" s="46" t="n">
        <v>0</v>
      </c>
      <c r="K19" s="45" t="inlineStr">
        <is>
          <t>ArmyTruck (50 PV) transportant des officiers</t>
        </is>
      </c>
      <c r="L19" s="44" t="n"/>
    </row>
    <row r="20">
      <c r="A20" s="44" t="n">
        <v>4</v>
      </c>
      <c r="B20" s="45" t="inlineStr">
        <is>
          <t>TWIN ROADS</t>
        </is>
      </c>
      <c r="C20" s="44" t="n">
        <v>4</v>
      </c>
      <c r="D20" s="45" t="inlineStr">
        <is>
          <t>Boss</t>
        </is>
      </c>
      <c r="E20" s="45" t="inlineStr">
        <is>
          <t>Détruire le WarTruck</t>
        </is>
      </c>
      <c r="F20" s="44" t="n">
        <v>60</v>
      </c>
      <c r="G20" s="44" t="n">
        <v>6</v>
      </c>
      <c r="H20" s="46" t="n">
        <v>1</v>
      </c>
      <c r="I20" s="46" t="n">
        <v>0</v>
      </c>
      <c r="J20" s="46" t="n">
        <v>0</v>
      </c>
      <c r="K20" s="45" t="inlineStr">
        <is>
          <t>WarTruck 60 PV, armé : rafales de 3 balles dans 4 directions ; largue un soldat toutes les 2 s ; 750 points ; fin du jeu</t>
        </is>
      </c>
      <c r="L20" s="44" t="n">
        <v>750</v>
      </c>
    </row>
  </sheetData>
  <autoFilter ref="A1:L1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6" min="1" max="6"/>
  </cols>
  <sheetData>
    <row r="1" ht="15" customHeight="1" s="27">
      <c r="A1" s="47" t="inlineStr">
        <is>
          <t>Zone</t>
        </is>
      </c>
      <c r="B1" s="47" t="inlineStr">
        <is>
          <t>Missions</t>
        </is>
      </c>
      <c r="C1" s="47" t="inlineStr">
        <is>
          <t>Kills</t>
        </is>
      </c>
      <c r="D1" s="47" t="inlineStr">
        <is>
          <t>Time Attack</t>
        </is>
      </c>
      <c r="E1" s="47" t="inlineStr">
        <is>
          <t>Find the Z80</t>
        </is>
      </c>
      <c r="F1" s="47" t="inlineStr">
        <is>
          <t>Boss</t>
        </is>
      </c>
    </row>
    <row r="2" ht="15" customHeight="1" s="27">
      <c r="A2" s="48" t="n">
        <v>1</v>
      </c>
      <c r="B2" s="48">
        <f>COUNTIF(Missions!$A$2:$A$20,A2)</f>
        <v/>
      </c>
      <c r="C2" s="48">
        <f>COUNTIFS(Missions!$A$2:$A$20,$A2,Missions!$D$2:$D$20,"Kills")</f>
        <v/>
      </c>
      <c r="D2" s="48">
        <f>COUNTIFS(Missions!$A$2:$A$20,$A2,Missions!$D$2:$D$20,"Time Attack")</f>
        <v/>
      </c>
      <c r="E2" s="48">
        <f>COUNTIFS(Missions!$A$2:$A$20,$A2,Missions!$D$2:$D$20,"Find the Z80")</f>
        <v/>
      </c>
      <c r="F2" s="48">
        <f>COUNTIFS(Missions!$A$2:$A$20,$A2,Missions!$D$2:$D$20,"Boss")</f>
        <v/>
      </c>
    </row>
    <row r="3" ht="15" customHeight="1" s="27">
      <c r="A3" s="48" t="n">
        <v>2</v>
      </c>
      <c r="B3" s="48">
        <f>COUNTIF(Missions!$A$2:$A$20,A3)</f>
        <v/>
      </c>
      <c r="C3" s="48">
        <f>COUNTIFS(Missions!$A$2:$A$20,$A3,Missions!$D$2:$D$20,"Kills")</f>
        <v/>
      </c>
      <c r="D3" s="48">
        <f>COUNTIFS(Missions!$A$2:$A$20,$A3,Missions!$D$2:$D$20,"Time Attack")</f>
        <v/>
      </c>
      <c r="E3" s="48">
        <f>COUNTIFS(Missions!$A$2:$A$20,$A3,Missions!$D$2:$D$20,"Find the Z80")</f>
        <v/>
      </c>
      <c r="F3" s="48">
        <f>COUNTIFS(Missions!$A$2:$A$20,$A3,Missions!$D$2:$D$20,"Boss")</f>
        <v/>
      </c>
    </row>
    <row r="4" ht="15" customHeight="1" s="27">
      <c r="A4" s="48" t="n">
        <v>3</v>
      </c>
      <c r="B4" s="48">
        <f>COUNTIF(Missions!$A$2:$A$20,A4)</f>
        <v/>
      </c>
      <c r="C4" s="48">
        <f>COUNTIFS(Missions!$A$2:$A$20,$A4,Missions!$D$2:$D$20,"Kills")</f>
        <v/>
      </c>
      <c r="D4" s="48">
        <f>COUNTIFS(Missions!$A$2:$A$20,$A4,Missions!$D$2:$D$20,"Time Attack")</f>
        <v/>
      </c>
      <c r="E4" s="48">
        <f>COUNTIFS(Missions!$A$2:$A$20,$A4,Missions!$D$2:$D$20,"Find the Z80")</f>
        <v/>
      </c>
      <c r="F4" s="48">
        <f>COUNTIFS(Missions!$A$2:$A$20,$A4,Missions!$D$2:$D$20,"Boss")</f>
        <v/>
      </c>
    </row>
    <row r="5" ht="15" customHeight="1" s="27">
      <c r="A5" s="48" t="n">
        <v>4</v>
      </c>
      <c r="B5" s="48">
        <f>COUNTIF(Missions!$A$2:$A$20,A5)</f>
        <v/>
      </c>
      <c r="C5" s="48">
        <f>COUNTIFS(Missions!$A$2:$A$20,$A5,Missions!$D$2:$D$20,"Kills")</f>
        <v/>
      </c>
      <c r="D5" s="48">
        <f>COUNTIFS(Missions!$A$2:$A$20,$A5,Missions!$D$2:$D$20,"Time Attack")</f>
        <v/>
      </c>
      <c r="E5" s="48">
        <f>COUNTIFS(Missions!$A$2:$A$20,$A5,Missions!$D$2:$D$20,"Find the Z80")</f>
        <v/>
      </c>
      <c r="F5" s="48">
        <f>COUNTIFS(Missions!$A$2:$A$20,$A5,Missions!$D$2:$D$20,"Boss")</f>
        <v/>
      </c>
    </row>
    <row r="6">
      <c r="A6" s="49" t="inlineStr">
        <is>
          <t>Total</t>
        </is>
      </c>
      <c r="B6" s="49">
        <f>SUM(B2:B5)</f>
        <v/>
      </c>
      <c r="C6" s="49">
        <f>SUM(C2:C5)</f>
        <v/>
      </c>
      <c r="D6" s="49">
        <f>SUM(D2:D5)</f>
        <v/>
      </c>
      <c r="E6" s="49">
        <f>SUM(E2:E5)</f>
        <v/>
      </c>
      <c r="F6" s="49">
        <f>SUM(F2:F5)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6" min="1" max="1"/>
    <col width="14" customWidth="1" style="26" min="2" max="2"/>
    <col width="70" customWidth="1" style="26" min="3" max="3"/>
  </cols>
  <sheetData>
    <row r="1" ht="15" customHeight="1" s="27">
      <c r="A1" s="50" t="inlineStr">
        <is>
          <t>Unité</t>
        </is>
      </c>
      <c r="B1" s="50" t="inlineStr">
        <is>
          <t>Points de vie</t>
        </is>
      </c>
      <c r="C1" s="50" t="inlineStr">
        <is>
          <t>Remarque</t>
        </is>
      </c>
    </row>
    <row r="2" ht="15" customHeight="1" s="27">
      <c r="A2" s="51" t="inlineStr">
        <is>
          <t>Soldat</t>
        </is>
      </c>
      <c r="B2" s="51" t="n">
        <v>1</v>
      </c>
      <c r="C2" s="51" t="n"/>
    </row>
    <row r="3" ht="15" customHeight="1" s="27">
      <c r="A3" s="51" t="inlineStr">
        <is>
          <t>Officier</t>
        </is>
      </c>
      <c r="B3" s="51" t="n">
        <v>2</v>
      </c>
      <c r="C3" s="51" t="inlineStr">
        <is>
          <t>Lance des grenades (portée limitée à celle de Papi : 20 octets / 60 lignes)</t>
        </is>
      </c>
    </row>
    <row r="4" ht="15" customHeight="1" s="27">
      <c r="A4" s="51" t="inlineStr">
        <is>
          <t>Général</t>
        </is>
      </c>
      <c r="B4" s="51" t="n">
        <v>3</v>
      </c>
      <c r="C4" s="51" t="inlineStr">
        <is>
          <t>Plus rapide que les officiers</t>
        </is>
      </c>
    </row>
    <row r="5" ht="15" customHeight="1" s="27">
      <c r="A5" s="51" t="inlineStr">
        <is>
          <t>Boss Caporal Garatonku</t>
        </is>
      </c>
      <c r="B5" s="51" t="n">
        <v>30</v>
      </c>
      <c r="C5" s="51" t="inlineStr">
        <is>
          <t>Zone 1</t>
        </is>
      </c>
    </row>
    <row r="6" ht="15" customHeight="1" s="27">
      <c r="A6" s="51" t="inlineStr">
        <is>
          <t>Boss Capitaine DanTaGoul</t>
        </is>
      </c>
      <c r="B6" s="51" t="n">
        <v>35</v>
      </c>
      <c r="C6" s="51" t="inlineStr">
        <is>
          <t>Zone 2</t>
        </is>
      </c>
    </row>
    <row r="7" ht="15" customHeight="1" s="27">
      <c r="A7" s="51" t="inlineStr">
        <is>
          <t>Boss Général Falzar</t>
        </is>
      </c>
      <c r="B7" s="51" t="n">
        <v>45</v>
      </c>
      <c r="C7" s="51" t="inlineStr">
        <is>
          <t>Zone 3 ; ne lance pas de grenade</t>
        </is>
      </c>
    </row>
    <row r="8">
      <c r="A8" s="51" t="inlineStr">
        <is>
          <t>ArmyTruck</t>
        </is>
      </c>
      <c r="B8" s="51" t="n">
        <v>50</v>
      </c>
      <c r="C8" s="51" t="inlineStr">
        <is>
          <t>Zone 4 ; non armé ; 500 points</t>
        </is>
      </c>
    </row>
    <row r="9">
      <c r="A9" s="51" t="inlineStr">
        <is>
          <t>WarTruck</t>
        </is>
      </c>
      <c r="B9" s="51" t="n">
        <v>60</v>
      </c>
      <c r="C9" s="51" t="inlineStr">
        <is>
          <t>Zone 4 ; rafales de 3 balles dans 4 directions ; 750 points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0" customWidth="1" style="26" min="1" max="1"/>
  </cols>
  <sheetData>
    <row r="1" ht="15" customHeight="1" s="27">
      <c r="A1" s="50" t="inlineStr">
        <is>
          <t>Règle commune</t>
        </is>
      </c>
    </row>
    <row r="2" ht="15" customHeight="1" s="27">
      <c r="A2" s="52" t="inlineStr">
        <is>
          <t>Vies et score conservés d'une mission à l'autre</t>
        </is>
      </c>
    </row>
    <row r="3" ht="15" customHeight="1" s="27">
      <c r="A3" s="52" t="inlineStr">
        <is>
          <t>Vie bonus tous les 250 points ; score plafonné à 9990</t>
        </is>
      </c>
    </row>
    <row r="4" ht="15" customHeight="1" s="27">
      <c r="A4" s="52" t="inlineStr">
        <is>
          <t>Grenades : max 10, 5 au départ</t>
        </is>
      </c>
    </row>
    <row r="5" ht="15" customHeight="1" s="27">
      <c r="A5" s="52" t="inlineStr">
        <is>
          <t>Invincibilité après une mort : 1,5 s (75 images à 50 images/s), Papi clignote</t>
        </is>
      </c>
    </row>
    <row r="6" ht="15" customHeight="1" s="27">
      <c r="A6" s="52" t="inlineStr">
        <is>
          <t>Barre de vie du boss dans le bandeau : vert, jaune, orange, rouge</t>
        </is>
      </c>
    </row>
    <row r="7" ht="15" customHeight="1" s="27">
      <c r="A7" s="52" t="inlineStr">
        <is>
          <t>Fin de zone : boss vaincu, écran CONGRATULATIONS puis retour au menu</t>
        </is>
      </c>
    </row>
    <row r="8" ht="15" customHeight="1" s="27">
      <c r="A8" s="52" t="inlineStr">
        <is>
          <t>Source : cahier des charges du 19 octobre 2026 (état v42)</t>
        </is>
      </c>
    </row>
    <row r="9">
      <c r="A9" s="52" t="inlineStr">
        <is>
          <t>Zone 4 : bidons explosifs (3 balles ou 1 grenade, 3 points de dégât autour, flammes durables) ; code d'accès SUGAR (état v50)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2026-10-19T14:43:21Z</dcterms:created>
  <dcterms:modified xmlns:dcterms="http://purl.org/dc/terms/" xmlns:xsi="http://www.w3.org/2001/XMLSchema-instance" xsi:type="dcterms:W3CDTF">2026-10-21T04:52:08Z</dcterms:modified>
  <cp:revision>0</cp:revision>
</cp:coreProperties>
</file>